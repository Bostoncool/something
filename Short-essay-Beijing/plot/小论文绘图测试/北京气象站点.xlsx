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U\Desktop\Datebase Origin\China Meteorology\_数据说明\"/>
    </mc:Choice>
  </mc:AlternateContent>
  <xr:revisionPtr revIDLastSave="0" documentId="13_ncr:1_{48F84793-FB38-42A7-A3C7-A54E1A5B2F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</calcChain>
</file>

<file path=xl/sharedStrings.xml><?xml version="1.0" encoding="utf-8"?>
<sst xmlns="http://schemas.openxmlformats.org/spreadsheetml/2006/main" count="82" uniqueCount="64">
  <si>
    <t>省份</t>
  </si>
  <si>
    <t>站名</t>
  </si>
  <si>
    <t>纬度(度分)</t>
  </si>
  <si>
    <t>经度(度分)</t>
  </si>
  <si>
    <t>气压传感器拔海高度(米)</t>
  </si>
  <si>
    <t>观测场拔海高度(米)</t>
  </si>
  <si>
    <t>北京</t>
  </si>
  <si>
    <t>顺义</t>
  </si>
  <si>
    <t>29.6</t>
  </si>
  <si>
    <t>28.6</t>
  </si>
  <si>
    <t>海淀</t>
  </si>
  <si>
    <t>46.9</t>
  </si>
  <si>
    <t>45.8</t>
  </si>
  <si>
    <t>延庆</t>
  </si>
  <si>
    <t>489.1</t>
  </si>
  <si>
    <t>487.9</t>
  </si>
  <si>
    <t>密云</t>
  </si>
  <si>
    <t>73.0</t>
  </si>
  <si>
    <t>71.8</t>
  </si>
  <si>
    <t>怀柔</t>
  </si>
  <si>
    <t>76.8</t>
  </si>
  <si>
    <t>75.7</t>
  </si>
  <si>
    <t>密云上甸子</t>
  </si>
  <si>
    <t>294.3</t>
  </si>
  <si>
    <t>293.3</t>
  </si>
  <si>
    <t>平谷</t>
  </si>
  <si>
    <t>33.3</t>
  </si>
  <si>
    <t>32.1</t>
  </si>
  <si>
    <t>通州</t>
  </si>
  <si>
    <t>44.5</t>
  </si>
  <si>
    <t>43.3</t>
  </si>
  <si>
    <t>朝阳</t>
  </si>
  <si>
    <t>36.3</t>
  </si>
  <si>
    <t>35.3</t>
  </si>
  <si>
    <t>昌平</t>
  </si>
  <si>
    <t>77.4</t>
  </si>
  <si>
    <t>76.2</t>
  </si>
  <si>
    <t>斋堂</t>
  </si>
  <si>
    <t>441.3</t>
  </si>
  <si>
    <t>440.3</t>
  </si>
  <si>
    <t>门头沟</t>
  </si>
  <si>
    <t>99.1</t>
  </si>
  <si>
    <t>98.0</t>
  </si>
  <si>
    <t>32.5</t>
  </si>
  <si>
    <t>31.3</t>
  </si>
  <si>
    <t>石景山</t>
  </si>
  <si>
    <t>66.8</t>
  </si>
  <si>
    <t>65.6</t>
  </si>
  <si>
    <t>丰台</t>
  </si>
  <si>
    <t>56.7</t>
  </si>
  <si>
    <t>55.2</t>
  </si>
  <si>
    <t>大兴</t>
  </si>
  <si>
    <t>38.8</t>
  </si>
  <si>
    <t>37.6</t>
  </si>
  <si>
    <t>房山</t>
  </si>
  <si>
    <t>49.9</t>
  </si>
  <si>
    <t>48.9</t>
  </si>
  <si>
    <t>霞云岭</t>
  </si>
  <si>
    <t>408.7</t>
  </si>
  <si>
    <t>407.7</t>
  </si>
  <si>
    <t>国际区站号</t>
  </si>
  <si>
    <t>中国区站号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</si>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</sst>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8">
    <font>
      <sz val="11"/>
      <color indexed="8"/>
      <name val="Aptos Narrow"/>
      <family val="2"/>
      <scheme val="minor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0"/>
      <color rgb="FF0A0A0A"/>
      <name val="报宋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2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168" fontId="0" fillId="0" borderId="0" xfId="0" applyNumberFormat="1"/>
  </cellXfs>
  <cellStyles count="2">
    <cellStyle name="Normal" xfId="0" builtinId="0"/>
    <cellStyle name="Normal 2" xfId="1" xr:uid="{BB6D9141-FDD7-46F0-9B62-285721DD6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M17" sqref="M17"/>
    </sheetView>
  </sheetViews>
  <sheetFormatPr defaultRowHeight="15"/>
  <cols>
    <col min="1" max="1" width="6.28515625" customWidth="1"/>
    <col min="2" max="2" width="11" customWidth="1"/>
    <col min="3" max="4" width="12.42578125" customWidth="1"/>
    <col min="5" max="5" width="13.42578125" customWidth="1"/>
    <col min="6" max="6" width="21.42578125" customWidth="1"/>
    <col min="7" max="7" width="20.140625" customWidth="1"/>
    <col min="8" max="8" width="14.140625" style="8" customWidth="1"/>
    <col min="9" max="9" width="10.5703125" bestFit="1" customWidth="1"/>
    <col min="10" max="10" width="11.5703125" bestFit="1" customWidth="1"/>
  </cols>
  <sheetData>
    <row r="1" spans="1:10" ht="21.6" customHeight="1">
      <c r="A1" s="1" t="s">
        <v>0</v>
      </c>
      <c r="B1" s="1" t="s">
        <v>60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1" t="s">
        <v>61</v>
      </c>
      <c r="I1" s="1" t="s">
        <v>62</v>
      </c>
      <c r="J1" s="1" t="s">
        <v>63</v>
      </c>
    </row>
    <row r="2" spans="1:10" ht="21.6" customHeight="1">
      <c r="A2" s="7" t="s">
        <v>6</v>
      </c>
      <c r="B2" s="7">
        <v>543980</v>
      </c>
      <c r="C2" s="7" t="s">
        <v>7</v>
      </c>
      <c r="D2" s="7">
        <v>4008</v>
      </c>
      <c r="E2" s="7">
        <v>11637</v>
      </c>
      <c r="F2" s="7" t="s">
        <v>8</v>
      </c>
      <c r="G2" s="7" t="s">
        <v>9</v>
      </c>
      <c r="H2" s="8">
        <f>B2/10</f>
        <v>54398</v>
      </c>
      <c r="I2" s="9">
        <f>LEFT(D2, 2) + MID(D2, 3, 2)/60</f>
        <v>40.133333333333333</v>
      </c>
      <c r="J2" s="9">
        <f>LEFT(E2, 3) + MID(E2, 4, 2)/60</f>
        <v>116.61666666666666</v>
      </c>
    </row>
    <row r="3" spans="1:10" ht="21.6" customHeight="1">
      <c r="A3" s="7" t="s">
        <v>6</v>
      </c>
      <c r="B3" s="7">
        <v>543990</v>
      </c>
      <c r="C3" s="7" t="s">
        <v>10</v>
      </c>
      <c r="D3" s="7">
        <v>3959.0000000000005</v>
      </c>
      <c r="E3" s="7">
        <v>11617</v>
      </c>
      <c r="F3" s="7" t="s">
        <v>11</v>
      </c>
      <c r="G3" s="7" t="s">
        <v>12</v>
      </c>
      <c r="H3" s="8">
        <f t="shared" ref="H3:H19" si="0">B3/10</f>
        <v>54399</v>
      </c>
      <c r="I3" s="9">
        <f t="shared" ref="I3:I19" si="1">LEFT(D3, 2) + MID(D3, 3, 2)/60</f>
        <v>39.983333333333334</v>
      </c>
      <c r="J3" s="9">
        <f t="shared" ref="J3:J19" si="2">LEFT(E3, 3) + MID(E3, 4, 2)/60</f>
        <v>116.28333333333333</v>
      </c>
    </row>
    <row r="4" spans="1:10" ht="21.6" customHeight="1">
      <c r="A4" s="7" t="s">
        <v>6</v>
      </c>
      <c r="B4" s="7">
        <v>544060</v>
      </c>
      <c r="C4" s="7" t="s">
        <v>13</v>
      </c>
      <c r="D4" s="7">
        <v>4027.0000000000005</v>
      </c>
      <c r="E4" s="7">
        <v>11558</v>
      </c>
      <c r="F4" s="7" t="s">
        <v>14</v>
      </c>
      <c r="G4" s="7" t="s">
        <v>15</v>
      </c>
      <c r="H4" s="8">
        <f t="shared" si="0"/>
        <v>54406</v>
      </c>
      <c r="I4" s="9">
        <f t="shared" si="1"/>
        <v>40.450000000000003</v>
      </c>
      <c r="J4" s="9">
        <f t="shared" si="2"/>
        <v>115.96666666666667</v>
      </c>
    </row>
    <row r="5" spans="1:10" ht="21.6" customHeight="1">
      <c r="A5" s="7" t="s">
        <v>6</v>
      </c>
      <c r="B5" s="7">
        <v>544160</v>
      </c>
      <c r="C5" s="7" t="s">
        <v>16</v>
      </c>
      <c r="D5" s="7">
        <v>4022.9999999999995</v>
      </c>
      <c r="E5" s="7">
        <v>11652</v>
      </c>
      <c r="F5" s="7" t="s">
        <v>17</v>
      </c>
      <c r="G5" s="7" t="s">
        <v>18</v>
      </c>
      <c r="H5" s="8">
        <f t="shared" si="0"/>
        <v>54416</v>
      </c>
      <c r="I5" s="9">
        <f t="shared" si="1"/>
        <v>40.383333333333333</v>
      </c>
      <c r="J5" s="9">
        <f t="shared" si="2"/>
        <v>116.86666666666666</v>
      </c>
    </row>
    <row r="6" spans="1:10" ht="21.6" customHeight="1">
      <c r="A6" s="7" t="s">
        <v>6</v>
      </c>
      <c r="B6" s="7">
        <v>544190</v>
      </c>
      <c r="C6" s="7" t="s">
        <v>19</v>
      </c>
      <c r="D6" s="7">
        <v>4022</v>
      </c>
      <c r="E6" s="7">
        <v>11638</v>
      </c>
      <c r="F6" s="7" t="s">
        <v>20</v>
      </c>
      <c r="G6" s="7" t="s">
        <v>21</v>
      </c>
      <c r="H6" s="8">
        <f t="shared" si="0"/>
        <v>54419</v>
      </c>
      <c r="I6" s="9">
        <f t="shared" si="1"/>
        <v>40.366666666666667</v>
      </c>
      <c r="J6" s="9">
        <f t="shared" si="2"/>
        <v>116.63333333333334</v>
      </c>
    </row>
    <row r="7" spans="1:10" ht="21.6" customHeight="1">
      <c r="A7" s="7" t="s">
        <v>6</v>
      </c>
      <c r="B7" s="7">
        <v>544210</v>
      </c>
      <c r="C7" s="7" t="s">
        <v>22</v>
      </c>
      <c r="D7" s="7">
        <v>4039</v>
      </c>
      <c r="E7" s="7">
        <v>11707</v>
      </c>
      <c r="F7" s="7" t="s">
        <v>23</v>
      </c>
      <c r="G7" s="7" t="s">
        <v>24</v>
      </c>
      <c r="H7" s="8">
        <f t="shared" si="0"/>
        <v>54421</v>
      </c>
      <c r="I7" s="9">
        <f t="shared" si="1"/>
        <v>40.65</v>
      </c>
      <c r="J7" s="9">
        <f t="shared" si="2"/>
        <v>117.11666666666666</v>
      </c>
    </row>
    <row r="8" spans="1:10" ht="21.6" customHeight="1">
      <c r="A8" s="7" t="s">
        <v>6</v>
      </c>
      <c r="B8" s="7">
        <v>544240</v>
      </c>
      <c r="C8" s="7" t="s">
        <v>25</v>
      </c>
      <c r="D8" s="7">
        <v>4010</v>
      </c>
      <c r="E8" s="7">
        <v>11707</v>
      </c>
      <c r="F8" s="7" t="s">
        <v>26</v>
      </c>
      <c r="G8" s="7" t="s">
        <v>27</v>
      </c>
      <c r="H8" s="8">
        <f t="shared" si="0"/>
        <v>54424</v>
      </c>
      <c r="I8" s="9">
        <f t="shared" si="1"/>
        <v>40.166666666666664</v>
      </c>
      <c r="J8" s="9">
        <f t="shared" si="2"/>
        <v>117.11666666666666</v>
      </c>
    </row>
    <row r="9" spans="1:10" ht="21.6" customHeight="1">
      <c r="A9" s="7" t="s">
        <v>6</v>
      </c>
      <c r="B9" s="7">
        <v>544310</v>
      </c>
      <c r="C9" s="7" t="s">
        <v>28</v>
      </c>
      <c r="D9" s="7">
        <v>3954.9999999999995</v>
      </c>
      <c r="E9" s="7">
        <v>11638</v>
      </c>
      <c r="F9" s="7" t="s">
        <v>29</v>
      </c>
      <c r="G9" s="7" t="s">
        <v>30</v>
      </c>
      <c r="H9" s="8">
        <f t="shared" si="0"/>
        <v>54431</v>
      </c>
      <c r="I9" s="9">
        <f t="shared" si="1"/>
        <v>39.916666666666664</v>
      </c>
      <c r="J9" s="9">
        <f t="shared" si="2"/>
        <v>116.63333333333334</v>
      </c>
    </row>
    <row r="10" spans="1:10" ht="21.6" customHeight="1">
      <c r="A10" s="7" t="s">
        <v>6</v>
      </c>
      <c r="B10" s="7">
        <v>544330</v>
      </c>
      <c r="C10" s="7" t="s">
        <v>31</v>
      </c>
      <c r="D10" s="7">
        <v>3957</v>
      </c>
      <c r="E10" s="7">
        <v>11630</v>
      </c>
      <c r="F10" s="7" t="s">
        <v>32</v>
      </c>
      <c r="G10" s="7" t="s">
        <v>33</v>
      </c>
      <c r="H10" s="8">
        <f t="shared" si="0"/>
        <v>54433</v>
      </c>
      <c r="I10" s="9">
        <f t="shared" si="1"/>
        <v>39.950000000000003</v>
      </c>
      <c r="J10" s="9">
        <f t="shared" si="2"/>
        <v>116.5</v>
      </c>
    </row>
    <row r="11" spans="1:10" ht="21.6" customHeight="1">
      <c r="A11" s="7" t="s">
        <v>6</v>
      </c>
      <c r="B11" s="7">
        <v>544990</v>
      </c>
      <c r="C11" s="7" t="s">
        <v>34</v>
      </c>
      <c r="D11" s="7">
        <v>4013.0000000000005</v>
      </c>
      <c r="E11" s="7">
        <v>11613</v>
      </c>
      <c r="F11" s="7" t="s">
        <v>35</v>
      </c>
      <c r="G11" s="7" t="s">
        <v>36</v>
      </c>
      <c r="H11" s="8">
        <f t="shared" si="0"/>
        <v>54499</v>
      </c>
      <c r="I11" s="9">
        <f t="shared" si="1"/>
        <v>40.216666666666669</v>
      </c>
      <c r="J11" s="9">
        <f t="shared" si="2"/>
        <v>116.21666666666667</v>
      </c>
    </row>
    <row r="12" spans="1:10" ht="21.6" customHeight="1">
      <c r="A12" s="7" t="s">
        <v>6</v>
      </c>
      <c r="B12" s="7">
        <v>545010</v>
      </c>
      <c r="C12" s="7" t="s">
        <v>37</v>
      </c>
      <c r="D12" s="7">
        <v>3958</v>
      </c>
      <c r="E12" s="7">
        <v>11541</v>
      </c>
      <c r="F12" s="7" t="s">
        <v>38</v>
      </c>
      <c r="G12" s="7" t="s">
        <v>39</v>
      </c>
      <c r="H12" s="8">
        <f t="shared" si="0"/>
        <v>54501</v>
      </c>
      <c r="I12" s="9">
        <f t="shared" si="1"/>
        <v>39.966666666666669</v>
      </c>
      <c r="J12" s="9">
        <f t="shared" si="2"/>
        <v>115.68333333333334</v>
      </c>
    </row>
    <row r="13" spans="1:10" ht="21.6" customHeight="1">
      <c r="A13" s="7" t="s">
        <v>6</v>
      </c>
      <c r="B13" s="7">
        <v>545050</v>
      </c>
      <c r="C13" s="7" t="s">
        <v>40</v>
      </c>
      <c r="D13" s="7">
        <v>3956</v>
      </c>
      <c r="E13" s="7">
        <v>11606</v>
      </c>
      <c r="F13" s="7" t="s">
        <v>41</v>
      </c>
      <c r="G13" s="7" t="s">
        <v>42</v>
      </c>
      <c r="H13" s="8">
        <f t="shared" si="0"/>
        <v>54505</v>
      </c>
      <c r="I13" s="9">
        <f t="shared" si="1"/>
        <v>39.93333333333333</v>
      </c>
      <c r="J13" s="9">
        <f t="shared" si="2"/>
        <v>116.1</v>
      </c>
    </row>
    <row r="14" spans="1:10" ht="21.6" customHeight="1">
      <c r="A14" s="7" t="s">
        <v>6</v>
      </c>
      <c r="B14" s="7">
        <v>545110</v>
      </c>
      <c r="C14" s="7" t="s">
        <v>6</v>
      </c>
      <c r="D14" s="7">
        <v>3947.9999999999995</v>
      </c>
      <c r="E14" s="7">
        <v>11628</v>
      </c>
      <c r="F14" s="7" t="s">
        <v>43</v>
      </c>
      <c r="G14" s="7" t="s">
        <v>44</v>
      </c>
      <c r="H14" s="8">
        <f t="shared" si="0"/>
        <v>54511</v>
      </c>
      <c r="I14" s="9">
        <f t="shared" si="1"/>
        <v>39.799999999999997</v>
      </c>
      <c r="J14" s="9">
        <f t="shared" si="2"/>
        <v>116.46666666666667</v>
      </c>
    </row>
    <row r="15" spans="1:10" ht="21.6" customHeight="1">
      <c r="A15" s="7" t="s">
        <v>6</v>
      </c>
      <c r="B15" s="7">
        <v>545130</v>
      </c>
      <c r="C15" s="7" t="s">
        <v>45</v>
      </c>
      <c r="D15" s="7">
        <v>3957</v>
      </c>
      <c r="E15" s="7">
        <v>11612</v>
      </c>
      <c r="F15" s="7" t="s">
        <v>46</v>
      </c>
      <c r="G15" s="7" t="s">
        <v>47</v>
      </c>
      <c r="H15" s="8">
        <f t="shared" si="0"/>
        <v>54513</v>
      </c>
      <c r="I15" s="9">
        <f t="shared" si="1"/>
        <v>39.950000000000003</v>
      </c>
      <c r="J15" s="9">
        <f t="shared" si="2"/>
        <v>116.2</v>
      </c>
    </row>
    <row r="16" spans="1:10" ht="21.6" customHeight="1">
      <c r="A16" s="7" t="s">
        <v>6</v>
      </c>
      <c r="B16" s="7">
        <v>545140</v>
      </c>
      <c r="C16" s="7" t="s">
        <v>48</v>
      </c>
      <c r="D16" s="7">
        <v>3952.0000000000005</v>
      </c>
      <c r="E16" s="7">
        <v>11615</v>
      </c>
      <c r="F16" s="7" t="s">
        <v>49</v>
      </c>
      <c r="G16" s="7" t="s">
        <v>50</v>
      </c>
      <c r="H16" s="8">
        <f t="shared" si="0"/>
        <v>54514</v>
      </c>
      <c r="I16" s="9">
        <f t="shared" si="1"/>
        <v>39.866666666666667</v>
      </c>
      <c r="J16" s="9">
        <f t="shared" si="2"/>
        <v>116.25</v>
      </c>
    </row>
    <row r="17" spans="1:10" ht="21.6" customHeight="1">
      <c r="A17" s="7" t="s">
        <v>6</v>
      </c>
      <c r="B17" s="7">
        <v>545940</v>
      </c>
      <c r="C17" s="7" t="s">
        <v>51</v>
      </c>
      <c r="D17" s="7">
        <v>3943</v>
      </c>
      <c r="E17" s="7">
        <v>11621</v>
      </c>
      <c r="F17" s="7" t="s">
        <v>52</v>
      </c>
      <c r="G17" s="7" t="s">
        <v>53</v>
      </c>
      <c r="H17" s="8">
        <f t="shared" si="0"/>
        <v>54594</v>
      </c>
      <c r="I17" s="9">
        <f t="shared" si="1"/>
        <v>39.716666666666669</v>
      </c>
      <c r="J17" s="9">
        <f t="shared" si="2"/>
        <v>116.35</v>
      </c>
    </row>
    <row r="18" spans="1:10" ht="21.6" customHeight="1">
      <c r="A18" s="7" t="s">
        <v>6</v>
      </c>
      <c r="B18" s="7">
        <v>545960</v>
      </c>
      <c r="C18" s="7" t="s">
        <v>54</v>
      </c>
      <c r="D18" s="7">
        <v>3946</v>
      </c>
      <c r="E18" s="7">
        <v>11612</v>
      </c>
      <c r="F18" s="7" t="s">
        <v>55</v>
      </c>
      <c r="G18" s="7" t="s">
        <v>56</v>
      </c>
      <c r="H18" s="8">
        <f t="shared" si="0"/>
        <v>54596</v>
      </c>
      <c r="I18" s="9">
        <f t="shared" si="1"/>
        <v>39.766666666666666</v>
      </c>
      <c r="J18" s="9">
        <f t="shared" si="2"/>
        <v>116.2</v>
      </c>
    </row>
    <row r="19" spans="1:10" ht="21.6" customHeight="1">
      <c r="A19" s="7" t="s">
        <v>6</v>
      </c>
      <c r="B19" s="7">
        <v>545970</v>
      </c>
      <c r="C19" s="7" t="s">
        <v>57</v>
      </c>
      <c r="D19" s="7">
        <v>3944</v>
      </c>
      <c r="E19" s="7">
        <v>11544</v>
      </c>
      <c r="F19" s="7" t="s">
        <v>58</v>
      </c>
      <c r="G19" s="7" t="s">
        <v>59</v>
      </c>
      <c r="H19" s="8">
        <f t="shared" si="0"/>
        <v>54597</v>
      </c>
      <c r="I19" s="9">
        <f t="shared" si="1"/>
        <v>39.733333333333334</v>
      </c>
      <c r="J19" s="9">
        <f t="shared" si="2"/>
        <v>115.73333333333333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Lei Nuo</cp:lastModifiedBy>
  <dcterms:created xsi:type="dcterms:W3CDTF">2025-07-04T08:34:16Z</dcterms:created>
  <dcterms:modified xsi:type="dcterms:W3CDTF">2025-10-08T16:53:47Z</dcterms:modified>
</cp:coreProperties>
</file>